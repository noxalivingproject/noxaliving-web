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acion" sheetId="1" state="visible" r:id="rId1"/>
    <sheet name="Aereo_vs_Maritimo" sheetId="2" state="visible" r:id="rId2"/>
    <sheet name="Vol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 &quot;USD&quot;"/>
    <numFmt numFmtId="165" formatCode="0.00 &quot;kg&quot;"/>
    <numFmt numFmtId="166" formatCode="#,##0 &quot;COP&quot;"/>
    <numFmt numFmtId="167" formatCode="0.0%"/>
  </numFmts>
  <fonts count="18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595959"/>
      <sz val="10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color rgb="00000000"/>
      <sz val="11"/>
    </font>
    <font>
      <name val="Arial"/>
      <color rgb="000000FF"/>
      <sz val="11"/>
    </font>
    <font>
      <name val="Arial"/>
      <i val="1"/>
      <color rgb="007F7F7F"/>
      <sz val="9"/>
    </font>
    <font>
      <name val="Arial"/>
      <b val="1"/>
      <color rgb="00000000"/>
      <sz val="11"/>
    </font>
    <font>
      <name val="Arial"/>
      <color rgb="007F7F7F"/>
      <sz val="9"/>
    </font>
    <font>
      <name val="Arial"/>
      <b val="1"/>
      <color rgb="00000000"/>
      <sz val="12"/>
    </font>
    <font>
      <name val="Arial"/>
      <b val="1"/>
      <color rgb="00000000"/>
      <sz val="13"/>
    </font>
    <font>
      <name val="Arial"/>
      <b val="1"/>
      <color rgb="001F5C2E"/>
      <sz val="10"/>
    </font>
    <font>
      <name val="Arial"/>
      <color rgb="001F5C2E"/>
      <sz val="9"/>
    </font>
    <font>
      <name val="Arial"/>
      <color rgb="007F3000"/>
      <sz val="9"/>
    </font>
    <font>
      <name val="Arial"/>
      <b val="1"/>
      <color rgb="001F4E79"/>
      <sz val="13"/>
    </font>
    <font>
      <name val="Arial"/>
      <b val="1"/>
      <color rgb="007F3000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3" fontId="6" fillId="5" borderId="1" applyAlignment="1" pivotButton="0" quotePrefix="0" xfId="0">
      <alignment horizontal="right" vertical="center"/>
    </xf>
    <xf numFmtId="0" fontId="7" fillId="4" borderId="2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164" fontId="8" fillId="6" borderId="1" applyAlignment="1" pivotButton="0" quotePrefix="0" xfId="0">
      <alignment horizontal="right" vertical="center"/>
    </xf>
    <xf numFmtId="0" fontId="9" fillId="6" borderId="2" applyAlignment="1" pivotButton="0" quotePrefix="0" xfId="0">
      <alignment horizontal="left" vertical="center"/>
    </xf>
    <xf numFmtId="166" fontId="8" fillId="6" borderId="1" applyAlignment="1" pivotButton="0" quotePrefix="0" xfId="0">
      <alignment horizontal="right" vertical="center"/>
    </xf>
    <xf numFmtId="10" fontId="6" fillId="5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left" vertical="center"/>
    </xf>
    <xf numFmtId="167" fontId="6" fillId="5" borderId="1" applyAlignment="1" pivotButton="0" quotePrefix="0" xfId="0">
      <alignment horizontal="right" vertical="center"/>
    </xf>
    <xf numFmtId="0" fontId="5" fillId="4" borderId="2" applyAlignment="1" pivotButton="0" quotePrefix="0" xfId="0">
      <alignment horizontal="left" vertical="center"/>
    </xf>
    <xf numFmtId="166" fontId="6" fillId="5" borderId="1" applyAlignment="1" pivotButton="0" quotePrefix="0" xfId="0">
      <alignment horizontal="right" vertical="center"/>
    </xf>
    <xf numFmtId="0" fontId="5" fillId="6" borderId="2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166" fontId="5" fillId="4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left" vertical="center"/>
    </xf>
    <xf numFmtId="166" fontId="10" fillId="6" borderId="1" applyAlignment="1" pivotButton="0" quotePrefix="0" xfId="0">
      <alignment horizontal="right" vertical="center"/>
    </xf>
    <xf numFmtId="0" fontId="11" fillId="8" borderId="1" applyAlignment="1" pivotButton="0" quotePrefix="0" xfId="0">
      <alignment horizontal="left" vertical="center"/>
    </xf>
    <xf numFmtId="166" fontId="11" fillId="8" borderId="1" applyAlignment="1" pivotButton="0" quotePrefix="0" xfId="0">
      <alignment horizontal="right" vertical="center"/>
    </xf>
    <xf numFmtId="0" fontId="12" fillId="8" borderId="2" applyAlignment="1" pivotButton="0" quotePrefix="0" xfId="0">
      <alignment horizontal="left" vertical="center"/>
    </xf>
    <xf numFmtId="166" fontId="6" fillId="2" borderId="1" applyAlignment="1" pivotButton="0" quotePrefix="0" xfId="0">
      <alignment horizontal="right" vertical="center"/>
    </xf>
    <xf numFmtId="0" fontId="7" fillId="2" borderId="2" applyAlignment="1" pivotButton="0" quotePrefix="0" xfId="0">
      <alignment horizontal="left" vertical="center"/>
    </xf>
    <xf numFmtId="167" fontId="6" fillId="2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left" vertical="center"/>
    </xf>
    <xf numFmtId="166" fontId="8" fillId="8" borderId="1" applyAlignment="1" pivotButton="0" quotePrefix="0" xfId="0">
      <alignment horizontal="right" vertical="center"/>
    </xf>
    <xf numFmtId="0" fontId="13" fillId="8" borderId="2" applyAlignment="1" pivotButton="0" quotePrefix="0" xfId="0">
      <alignment horizontal="left" vertical="center"/>
    </xf>
    <xf numFmtId="167" fontId="8" fillId="8" borderId="1" applyAlignment="1" pivotButton="0" quotePrefix="0" xfId="0">
      <alignment horizontal="right" vertical="center"/>
    </xf>
    <xf numFmtId="0" fontId="5" fillId="8" borderId="2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/>
    </xf>
    <xf numFmtId="166" fontId="8" fillId="9" borderId="1" applyAlignment="1" pivotButton="0" quotePrefix="0" xfId="0">
      <alignment horizontal="right" vertical="center"/>
    </xf>
    <xf numFmtId="0" fontId="14" fillId="9" borderId="2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8" fillId="6" borderId="1" pivotButton="0" quotePrefix="0" xfId="0"/>
    <xf numFmtId="166" fontId="10" fillId="6" borderId="1" applyAlignment="1" pivotButton="0" quotePrefix="0" xfId="0">
      <alignment horizontal="right" vertical="center"/>
    </xf>
    <xf numFmtId="0" fontId="10" fillId="8" borderId="1" pivotButton="0" quotePrefix="0" xfId="0"/>
    <xf numFmtId="166" fontId="11" fillId="8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16" fillId="9" borderId="1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center" vertical="center" wrapText="1"/>
    </xf>
    <xf numFmtId="3" fontId="8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right" vertical="center"/>
    </xf>
    <xf numFmtId="166" fontId="5" fillId="2" borderId="1" applyAlignment="1" pivotButton="0" quotePrefix="0" xfId="0">
      <alignment horizontal="right" vertical="center"/>
    </xf>
    <xf numFmtId="166" fontId="8" fillId="2" borderId="1" applyAlignment="1" pivotButton="0" quotePrefix="0" xfId="0">
      <alignment horizontal="right" vertical="center"/>
    </xf>
    <xf numFmtId="167" fontId="8" fillId="2" borderId="1" applyAlignment="1" pivotButton="0" quotePrefix="0" xfId="0">
      <alignment horizontal="right" vertical="center"/>
    </xf>
    <xf numFmtId="3" fontId="8" fillId="4" borderId="1" applyAlignment="1" pivotButton="0" quotePrefix="0" xfId="0">
      <alignment horizontal="center" vertical="center"/>
    </xf>
    <xf numFmtId="166" fontId="8" fillId="4" borderId="1" applyAlignment="1" pivotButton="0" quotePrefix="0" xfId="0">
      <alignment horizontal="right" vertical="center"/>
    </xf>
    <xf numFmtId="167" fontId="8" fillId="4" borderId="1" applyAlignment="1" pivotButton="0" quotePrefix="0" xfId="0">
      <alignment horizontal="right" vertical="center"/>
    </xf>
    <xf numFmtId="3" fontId="8" fillId="8" borderId="1" applyAlignment="1" pivotButton="0" quotePrefix="0" xfId="0">
      <alignment horizontal="center" vertical="center"/>
    </xf>
    <xf numFmtId="164" fontId="5" fillId="8" borderId="1" applyAlignment="1" pivotButton="0" quotePrefix="0" xfId="0">
      <alignment horizontal="right" vertical="center"/>
    </xf>
    <xf numFmtId="166" fontId="5" fillId="8" borderId="1" applyAlignment="1" pivotButton="0" quotePrefix="0" xfId="0">
      <alignment horizontal="right" vertical="center"/>
    </xf>
    <xf numFmtId="166" fontId="8" fillId="8" borderId="1" applyAlignment="1" pivotButton="0" quotePrefix="0" xfId="0">
      <alignment horizontal="right" vertical="center"/>
    </xf>
    <xf numFmtId="167" fontId="8" fillId="8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55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20" customWidth="1" min="3" max="3"/>
    <col width="32" customWidth="1" min="4" max="4"/>
    <col width="2" customWidth="1" min="5" max="5"/>
  </cols>
  <sheetData>
    <row r="1" ht="8" customHeight="1"/>
    <row r="2" ht="22" customHeight="1">
      <c r="B2" s="1" t="inlineStr">
        <is>
          <t>NOXA LIVING — Análisis de Importación desde China</t>
        </is>
      </c>
    </row>
    <row r="3" ht="22" customHeight="1">
      <c r="B3" s="2" t="inlineStr">
        <is>
          <t>Dispensador Automático de Jabón  ·  FOB Guangdong / Shenzhen  →  Colombia</t>
        </is>
      </c>
    </row>
    <row r="4" ht="8" customHeight="1"/>
    <row r="5" ht="22" customHeight="1">
      <c r="B5" s="3" t="inlineStr">
        <is>
          <t xml:space="preserve">  Texto azul = celda editable    |    HS Code sugerido: 8424.89.00  (verificar con agente de aduanas)</t>
        </is>
      </c>
    </row>
    <row r="6" ht="8" customHeight="1"/>
    <row r="7" ht="22" customHeight="1">
      <c r="B7" s="4" t="inlineStr">
        <is>
          <t>A. PARÁMETROS BASE  (todos editables)</t>
        </is>
      </c>
    </row>
    <row r="8" ht="22" customHeight="1">
      <c r="B8" s="5" t="inlineStr">
        <is>
          <t>TRM — Tasa de Cambio (USD → COP)</t>
        </is>
      </c>
      <c r="C8" s="6" t="n">
        <v>4200</v>
      </c>
      <c r="D8" s="7" t="inlineStr">
        <is>
          <t>Verificar en Banco de la República antes de ordenar.</t>
        </is>
      </c>
    </row>
    <row r="9" ht="22" customHeight="1">
      <c r="B9" s="5" t="inlineStr">
        <is>
          <t>Precio FOB por unidad (USD)</t>
        </is>
      </c>
      <c r="C9" s="8" t="n">
        <v>8</v>
      </c>
      <c r="D9" s="7" t="inlineStr">
        <is>
          <t>Ex-factory China. Editar con cotización confirmada.</t>
        </is>
      </c>
    </row>
    <row r="10" ht="22" customHeight="1">
      <c r="B10" s="5" t="inlineStr">
        <is>
          <t>Número de unidades a importar</t>
        </is>
      </c>
      <c r="C10" s="6" t="n">
        <v>25</v>
      </c>
      <c r="D10" s="7" t="inlineStr">
        <is>
          <t>Lote inicial. Ver hoja "Volumen" para comparar escalas.</t>
        </is>
      </c>
    </row>
    <row r="11" ht="22" customHeight="1">
      <c r="B11" s="5" t="inlineStr">
        <is>
          <t>Peso estimado por unidad (kg)</t>
        </is>
      </c>
      <c r="C11" s="9" t="n">
        <v>0.8</v>
      </c>
      <c r="D11" s="7" t="inlineStr">
        <is>
          <t>Incluye unidad + empaque original del fabricante.</t>
        </is>
      </c>
    </row>
    <row r="12" ht="22" customHeight="1">
      <c r="B12" s="5" t="inlineStr">
        <is>
          <t>Dimensiones (largo x ancho x alto) cm</t>
        </is>
      </c>
      <c r="C12" s="10" t="inlineStr">
        <is>
          <t>20x15x15</t>
        </is>
      </c>
      <c r="D12" s="7" t="inlineStr">
        <is>
          <t>Para calcular peso volumétrico aéreo (÷5000).</t>
        </is>
      </c>
    </row>
    <row r="13" ht="22" customHeight="1">
      <c r="B13" s="11" t="inlineStr">
        <is>
          <t>FOB Total (USD)</t>
        </is>
      </c>
      <c r="C13" s="12">
        <f>C9*C10</f>
        <v/>
      </c>
      <c r="D13" s="13">
        <f> unidades × precio FOB</f>
        <v/>
      </c>
    </row>
    <row r="14" ht="22" customHeight="1">
      <c r="B14" s="11" t="inlineStr">
        <is>
          <t>FOB Total (COP)</t>
        </is>
      </c>
      <c r="C14" s="14">
        <f>C13*C8</f>
        <v/>
      </c>
      <c r="D14" s="13">
        <f> FOB USD × TRM</f>
        <v/>
      </c>
    </row>
    <row r="15" ht="8" customHeight="1"/>
    <row r="16" ht="22" customHeight="1">
      <c r="B16" s="4" t="inlineStr">
        <is>
          <t>B. FLETE INTERNACIONAL  (China → Puerto Colombia)</t>
        </is>
      </c>
    </row>
    <row r="17" ht="22" customHeight="1">
      <c r="B17" s="5" t="inlineStr">
        <is>
          <t>Flete marítimo LCL — Guangdong a Cartagena (USD)</t>
        </is>
      </c>
      <c r="C17" s="8" t="n">
        <v>600</v>
      </c>
      <c r="D17" s="7" t="inlineStr">
        <is>
          <t>Costo mínimo LCL incluye: océano + THC origen + BL + handling destino.</t>
        </is>
      </c>
    </row>
    <row r="18" ht="22" customHeight="1">
      <c r="B18" s="5" t="inlineStr">
        <is>
          <t>Recargo combustible / seguridad (USD)</t>
        </is>
      </c>
      <c r="C18" s="8" t="n">
        <v>80</v>
      </c>
      <c r="D18" s="7" t="inlineStr">
        <is>
          <t>Aprox. 12-15% del flete base. Varía con precio del petróleo.</t>
        </is>
      </c>
    </row>
    <row r="19" ht="22" customHeight="1">
      <c r="B19" s="5" t="inlineStr">
        <is>
          <t>Seguro de carga internacional (% sobre FOB)</t>
        </is>
      </c>
      <c r="C19" s="15" t="n">
        <v>0.005</v>
      </c>
      <c r="D19" s="7" t="inlineStr">
        <is>
          <t>0.5% sobre valor FOB. Obligatorio para cubrir pérdida/daño.</t>
        </is>
      </c>
    </row>
    <row r="20" ht="22" customHeight="1">
      <c r="B20" s="5" t="inlineStr">
        <is>
          <t>Seguro en USD (calculado)</t>
        </is>
      </c>
      <c r="C20" s="16">
        <f>C13*C19</f>
        <v/>
      </c>
      <c r="D20" s="7">
        <f> FOB Total × % seguro</f>
        <v/>
      </c>
    </row>
    <row r="21" ht="22" customHeight="1">
      <c r="B21" s="17" t="inlineStr">
        <is>
          <t>VALOR CIF TOTAL (USD) — base para aranceles</t>
        </is>
      </c>
      <c r="C21" s="12">
        <f>C13+C17+C18+C20</f>
        <v/>
      </c>
      <c r="D21" s="13" t="inlineStr">
        <is>
          <t>CIF = FOB + Flete + Recargo + Seguro</t>
        </is>
      </c>
    </row>
    <row r="22" ht="22" customHeight="1">
      <c r="B22" s="17" t="inlineStr">
        <is>
          <t>VALOR CIF POR UNIDAD (USD)</t>
        </is>
      </c>
      <c r="C22" s="12">
        <f>IFERROR(C21/C10,0)</f>
        <v/>
      </c>
      <c r="D22" s="13">
        <f> CIF Total / unidades</f>
        <v/>
      </c>
    </row>
    <row r="23" ht="8" customHeight="1"/>
    <row r="24" ht="22" customHeight="1">
      <c r="B24" s="4" t="inlineStr">
        <is>
          <t>C. ARANCELES E IMPUESTOS DE IMPORTACIÓN  (DIAN Colombia)</t>
        </is>
      </c>
    </row>
    <row r="25" ht="22" customHeight="1">
      <c r="B25" s="5" t="inlineStr">
        <is>
          <t>Arancel NMF — China sin TLC (% sobre CIF)</t>
        </is>
      </c>
      <c r="C25" s="18" t="n">
        <v>0.15</v>
      </c>
      <c r="D25" s="7" t="inlineStr">
        <is>
          <t>HS 8424.89.00 aprox. 15%. Confirmar con agente de aduanas DIAN.</t>
        </is>
      </c>
    </row>
    <row r="26" ht="22" customHeight="1">
      <c r="B26" s="5" t="inlineStr">
        <is>
          <t>IVA de importación (% sobre CIF + Arancel)</t>
        </is>
      </c>
      <c r="C26" s="18" t="n">
        <v>0.19</v>
      </c>
      <c r="D26" s="7" t="inlineStr">
        <is>
          <t>19% fijo en Colombia. Base = CIF + Arancel.</t>
        </is>
      </c>
    </row>
    <row r="27" ht="22" customHeight="1">
      <c r="B27" s="5" t="inlineStr">
        <is>
          <t>Arancel total (USD)</t>
        </is>
      </c>
      <c r="C27" s="16">
        <f>C21*C25</f>
        <v/>
      </c>
      <c r="D27" s="7">
        <f> CIF × % arancel</f>
        <v/>
      </c>
    </row>
    <row r="28" ht="22" customHeight="1">
      <c r="B28" s="5" t="inlineStr">
        <is>
          <t>Base gravable IVA (USD) = CIF + Arancel</t>
        </is>
      </c>
      <c r="C28" s="16">
        <f>C21+C27</f>
        <v/>
      </c>
      <c r="D28" s="19" t="inlineStr"/>
    </row>
    <row r="29" ht="22" customHeight="1">
      <c r="B29" s="5" t="inlineStr">
        <is>
          <t>IVA de importación (USD)</t>
        </is>
      </c>
      <c r="C29" s="16">
        <f>C28*C26</f>
        <v/>
      </c>
      <c r="D29" s="7">
        <f> Base gravable × 19%</f>
        <v/>
      </c>
    </row>
    <row r="30" ht="22" customHeight="1">
      <c r="B30" s="17" t="inlineStr">
        <is>
          <t>TOTAL IMPUESTOS (USD)</t>
        </is>
      </c>
      <c r="C30" s="12">
        <f>C27+C29</f>
        <v/>
      </c>
      <c r="D30" s="13" t="inlineStr">
        <is>
          <t>Arancel + IVA</t>
        </is>
      </c>
    </row>
    <row r="31" ht="22" customHeight="1">
      <c r="B31" s="17" t="inlineStr">
        <is>
          <t>TOTAL IMPUESTOS (COP)</t>
        </is>
      </c>
      <c r="C31" s="14">
        <f>C30*C8</f>
        <v/>
      </c>
      <c r="D31" s="13">
        <f> USD × TRM</f>
        <v/>
      </c>
    </row>
    <row r="32" ht="8" customHeight="1"/>
    <row r="33" ht="22" customHeight="1">
      <c r="B33" s="4" t="inlineStr">
        <is>
          <t>D. GASTOS LOCALES EN COLOMBIA  (COP)</t>
        </is>
      </c>
    </row>
    <row r="34" ht="22" customHeight="1">
      <c r="B34" s="5" t="inlineStr">
        <is>
          <t>Agente de aduanas (honorarios)</t>
        </is>
      </c>
      <c r="C34" s="20" t="n">
        <v>300000</v>
      </c>
      <c r="D34" s="7" t="inlineStr">
        <is>
          <t>Trámite Declaración de Importación ante DIAN.</t>
        </is>
      </c>
    </row>
    <row r="35" ht="22" customHeight="1">
      <c r="B35" s="5" t="inlineStr">
        <is>
          <t>Gastos portuarios — terminal y handling</t>
        </is>
      </c>
      <c r="C35" s="20" t="n">
        <v>180000</v>
      </c>
      <c r="D35" s="7" t="inlineStr">
        <is>
          <t>Cartagena o Buenaventura. Varía por terminal.</t>
        </is>
      </c>
    </row>
    <row r="36" ht="22" customHeight="1">
      <c r="B36" s="5" t="inlineStr">
        <is>
          <t>Transporte: puerto → bodega Bogotá</t>
        </is>
      </c>
      <c r="C36" s="20" t="n">
        <v>250000</v>
      </c>
      <c r="D36" s="7" t="inlineStr">
        <is>
          <t>Carga de aprox. 20-25 kg. Editar si otra ciudad.</t>
        </is>
      </c>
    </row>
    <row r="37" ht="22" customHeight="1">
      <c r="B37" s="5" t="inlineStr">
        <is>
          <t>VUCE / Vistos Buenos (si aplica)</t>
        </is>
      </c>
      <c r="C37" s="20" t="n">
        <v>80000</v>
      </c>
      <c r="D37" s="7" t="inlineStr">
        <is>
          <t>Solo si el producto requiere permiso previo de entidad.</t>
        </is>
      </c>
    </row>
    <row r="38" ht="22" customHeight="1">
      <c r="B38" s="5" t="inlineStr">
        <is>
          <t>Otros gastos / imprevistos (COP)</t>
        </is>
      </c>
      <c r="C38" s="20" t="n">
        <v>100000</v>
      </c>
      <c r="D38" s="7" t="inlineStr">
        <is>
          <t>Reserva del 5-10% para gastos inesperados.</t>
        </is>
      </c>
    </row>
    <row r="39" ht="22" customHeight="1">
      <c r="B39" s="17" t="inlineStr">
        <is>
          <t>TOTAL GASTOS LOCALES (COP)</t>
        </is>
      </c>
      <c r="C39" s="14">
        <f>SUM(C34:C38)</f>
        <v/>
      </c>
      <c r="D39" s="21" t="inlineStr"/>
    </row>
    <row r="40" ht="8" customHeight="1"/>
    <row r="41" ht="22" customHeight="1">
      <c r="B41" s="22" t="inlineStr">
        <is>
          <t>E. COSTO DE ATERRIZAJE TOTAL  (Landed Cost)</t>
        </is>
      </c>
    </row>
    <row r="42" ht="22" customHeight="1">
      <c r="B42" s="5" t="inlineStr">
        <is>
          <t>FOB total (COP)</t>
        </is>
      </c>
      <c r="C42" s="23">
        <f>C14</f>
        <v/>
      </c>
      <c r="D42" s="19" t="inlineStr"/>
    </row>
    <row r="43" ht="22" customHeight="1">
      <c r="B43" s="5" t="inlineStr">
        <is>
          <t>Flete + recargo + seguro (COP)</t>
        </is>
      </c>
      <c r="C43" s="23">
        <f>(C17+C18+C20)*C8</f>
        <v/>
      </c>
      <c r="D43" s="19" t="inlineStr"/>
    </row>
    <row r="44" ht="22" customHeight="1">
      <c r="B44" s="5" t="inlineStr">
        <is>
          <t>Aranceles + IVA (COP)</t>
        </is>
      </c>
      <c r="C44" s="23">
        <f>C31</f>
        <v/>
      </c>
      <c r="D44" s="19" t="inlineStr"/>
    </row>
    <row r="45" ht="22" customHeight="1">
      <c r="B45" s="5" t="inlineStr">
        <is>
          <t>Gastos locales (COP)</t>
        </is>
      </c>
      <c r="C45" s="23">
        <f>C39</f>
        <v/>
      </c>
      <c r="D45" s="19" t="inlineStr"/>
    </row>
    <row r="46" ht="26" customHeight="1">
      <c r="B46" s="24" t="inlineStr">
        <is>
          <t>COSTO ATERRIZAJE TOTAL (COP)</t>
        </is>
      </c>
      <c r="C46" s="25">
        <f>SUM(C42:C45)</f>
        <v/>
      </c>
      <c r="D46" s="21" t="inlineStr"/>
    </row>
    <row r="47" ht="28" customHeight="1">
      <c r="B47" s="26" t="inlineStr">
        <is>
          <t>COSTO POR UNIDAD (COP)</t>
        </is>
      </c>
      <c r="C47" s="27">
        <f>IFERROR(C46/C10,0)</f>
        <v/>
      </c>
      <c r="D47" s="28" t="inlineStr">
        <is>
          <t>← Este es tu costo real puesto en bodega</t>
        </is>
      </c>
    </row>
    <row r="48" ht="8" customHeight="1"/>
    <row r="49" ht="22" customHeight="1">
      <c r="B49" s="4" t="inlineStr">
        <is>
          <t>F. PRECIO DE VENTA Y MARGEN SOBRE COSTO REAL</t>
        </is>
      </c>
    </row>
    <row r="50" ht="22" customHeight="1">
      <c r="B50" s="5" t="inlineStr">
        <is>
          <t>Precio de venta B2C (MercadoLibre, COP)</t>
        </is>
      </c>
      <c r="C50" s="29" t="n">
        <v>139900</v>
      </c>
      <c r="D50" s="30" t="inlineStr">
        <is>
          <t>Cambia este valor para simular.</t>
        </is>
      </c>
    </row>
    <row r="51" ht="22" customHeight="1">
      <c r="B51" s="5" t="inlineStr">
        <is>
          <t>Comisiones MercadoLibre + pago (%)</t>
        </is>
      </c>
      <c r="C51" s="31" t="n">
        <v>0.2168</v>
      </c>
      <c r="D51" s="30" t="inlineStr">
        <is>
          <t>16.5% + 5.18% — igual que hoja Costos.</t>
        </is>
      </c>
    </row>
    <row r="52" ht="22" customHeight="1">
      <c r="B52" s="5" t="inlineStr">
        <is>
          <t>Comisiones absolutas (COP)</t>
        </is>
      </c>
      <c r="C52" s="23">
        <f>C50*C51</f>
        <v/>
      </c>
      <c r="D52" s="19" t="inlineStr"/>
    </row>
    <row r="53" ht="22" customHeight="1">
      <c r="B53" s="32" t="inlineStr">
        <is>
          <t>GANANCIA NETA POR UNIDAD (COP)</t>
        </is>
      </c>
      <c r="C53" s="33">
        <f>C50-C47-C52</f>
        <v/>
      </c>
      <c r="D53" s="34">
        <f> Precio − Costo aterrizaje − Comisiones</f>
        <v/>
      </c>
    </row>
    <row r="54" ht="22" customHeight="1">
      <c r="B54" s="32" t="inlineStr">
        <is>
          <t>MARGEN NETO (%)</t>
        </is>
      </c>
      <c r="C54" s="35">
        <f>IFERROR(C53/C50,0)</f>
        <v/>
      </c>
      <c r="D54" s="36" t="inlineStr"/>
    </row>
    <row r="55" ht="22" customHeight="1">
      <c r="B55" s="37" t="inlineStr">
        <is>
          <t>PRECIO MÍNIMO DE VENTA (margen 30%)</t>
        </is>
      </c>
      <c r="C55" s="38">
        <f>IFERROR(C47/(1-C51-0.30),0)</f>
        <v/>
      </c>
      <c r="D55" s="39" t="inlineStr">
        <is>
          <t>Por debajo de este precio no es viable.</t>
        </is>
      </c>
    </row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</sheetData>
  <mergeCells count="9">
    <mergeCell ref="B33:D33"/>
    <mergeCell ref="B3:D3"/>
    <mergeCell ref="B5:D5"/>
    <mergeCell ref="B41:D41"/>
    <mergeCell ref="B49:D49"/>
    <mergeCell ref="B2:D2"/>
    <mergeCell ref="B7:D7"/>
    <mergeCell ref="B24:D24"/>
    <mergeCell ref="B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22"/>
  <sheetViews>
    <sheetView workbookViewId="0">
      <selection activeCell="A1" sqref="A1"/>
    </sheetView>
  </sheetViews>
  <sheetFormatPr baseColWidth="8" defaultRowHeight="15"/>
  <cols>
    <col width="2" customWidth="1" min="1" max="1"/>
    <col width="38" customWidth="1" min="2" max="2"/>
    <col width="22" customWidth="1" min="3" max="3"/>
    <col width="22" customWidth="1" min="4" max="4"/>
    <col width="2" customWidth="1" min="5" max="5"/>
  </cols>
  <sheetData>
    <row r="1" ht="8" customHeight="1"/>
    <row r="2" ht="22" customHeight="1">
      <c r="B2" s="40" t="inlineStr">
        <is>
          <t>COMPARATIVA: FLETE AÉREO vs. MARÍTIMO — 25 unidades</t>
        </is>
      </c>
    </row>
    <row r="3" ht="22" customHeight="1">
      <c r="B3" s="41" t="inlineStr">
        <is>
          <t>Costos base importados de hoja "Importacion". Solo varía el flete.</t>
        </is>
      </c>
    </row>
    <row r="4" ht="8" customHeight="1"/>
    <row r="5" ht="28" customHeight="1">
      <c r="B5" s="22" t="inlineStr">
        <is>
          <t>Concepto</t>
        </is>
      </c>
      <c r="C5" s="42" t="inlineStr">
        <is>
          <t>Aéreo (7-15 días)</t>
        </is>
      </c>
      <c r="D5" s="42" t="inlineStr">
        <is>
          <t>Marítimo (35-50 días)</t>
        </is>
      </c>
    </row>
    <row r="6" ht="22" customHeight="1">
      <c r="B6" s="5" t="inlineStr">
        <is>
          <t>FOB total (25 u. x $8 USD — COP)</t>
        </is>
      </c>
      <c r="C6" s="43">
        <f>Importacion!C14</f>
        <v/>
      </c>
      <c r="D6" s="43">
        <f>Importacion!C14</f>
        <v/>
      </c>
    </row>
    <row r="7" ht="22" customHeight="1">
      <c r="B7" s="5" t="inlineStr">
        <is>
          <t>Flete internacional (USD)</t>
        </is>
      </c>
      <c r="C7" s="8" t="n">
        <v>350</v>
      </c>
      <c r="D7" s="8" t="n">
        <v>600</v>
      </c>
    </row>
    <row r="8" ht="22" customHeight="1">
      <c r="B8" s="5" t="inlineStr">
        <is>
          <t>Recargo combustible y seguridad (USD)</t>
        </is>
      </c>
      <c r="C8" s="8" t="n">
        <v>60</v>
      </c>
      <c r="D8" s="8" t="n">
        <v>80</v>
      </c>
    </row>
    <row r="9" ht="22" customHeight="1">
      <c r="B9" s="5" t="inlineStr">
        <is>
          <t>Seguro de carga (USD)</t>
        </is>
      </c>
      <c r="C9" s="44">
        <f>Importacion!C20</f>
        <v/>
      </c>
      <c r="D9" s="44">
        <f>Importacion!C20</f>
        <v/>
      </c>
    </row>
    <row r="10" ht="22" customHeight="1">
      <c r="B10" s="5" t="inlineStr">
        <is>
          <t>CIF Total (USD)</t>
        </is>
      </c>
      <c r="C10" s="44">
        <f>Importacion!C13+C7+C8+C9</f>
        <v/>
      </c>
      <c r="D10" s="44">
        <f>Importacion!C13+D7+D8+D9</f>
        <v/>
      </c>
    </row>
    <row r="11" ht="22" customHeight="1">
      <c r="B11" s="5" t="inlineStr">
        <is>
          <t>Arancel 15% sobre CIF (COP)</t>
        </is>
      </c>
      <c r="C11" s="43">
        <f>C10*Importacion!$C$8*Importacion!$C$25</f>
        <v/>
      </c>
      <c r="D11" s="43">
        <f>D10*Importacion!$C$8*Importacion!$C$25</f>
        <v/>
      </c>
    </row>
    <row r="12" ht="22" customHeight="1">
      <c r="B12" s="5" t="inlineStr">
        <is>
          <t>Base gravable IVA (USD)</t>
        </is>
      </c>
      <c r="C12" s="44">
        <f>C10*(1+Importacion!$C$25)</f>
        <v/>
      </c>
      <c r="D12" s="44">
        <f>D10*(1+Importacion!$C$25)</f>
        <v/>
      </c>
    </row>
    <row r="13" ht="22" customHeight="1">
      <c r="B13" s="5" t="inlineStr">
        <is>
          <t>IVA 19% sobre base gravable (COP)</t>
        </is>
      </c>
      <c r="C13" s="43">
        <f>C12*Importacion!$C$8*Importacion!$C$26</f>
        <v/>
      </c>
      <c r="D13" s="43">
        <f>D12*Importacion!$C$8*Importacion!$C$26</f>
        <v/>
      </c>
    </row>
    <row r="14" ht="22" customHeight="1">
      <c r="B14" s="5" t="inlineStr">
        <is>
          <t>Flete + recargo + seguro convertido (COP)</t>
        </is>
      </c>
      <c r="C14" s="43">
        <f>(C7+C8+C9)*Importacion!$C$8</f>
        <v/>
      </c>
      <c r="D14" s="43">
        <f>(D7+D8+D9)*Importacion!$C$8</f>
        <v/>
      </c>
    </row>
    <row r="15" ht="22" customHeight="1">
      <c r="B15" s="5" t="inlineStr">
        <is>
          <t>Gastos locales Colombia (COP)</t>
        </is>
      </c>
      <c r="C15" s="43">
        <f>Importacion!C39</f>
        <v/>
      </c>
      <c r="D15" s="43">
        <f>Importacion!C39</f>
        <v/>
      </c>
    </row>
    <row r="16" ht="5" customHeight="1"/>
    <row r="17" ht="26" customHeight="1">
      <c r="B17" s="4" t="inlineStr">
        <is>
          <t>COSTO TOTAL ATERRIZAJE (COP)</t>
        </is>
      </c>
      <c r="C17" s="45" t="inlineStr">
        <is>
          <t>AÉREO</t>
        </is>
      </c>
      <c r="D17" s="45" t="inlineStr">
        <is>
          <t>MARÍTIMO</t>
        </is>
      </c>
    </row>
    <row r="18" ht="26" customHeight="1">
      <c r="B18" s="46" t="inlineStr">
        <is>
          <t>Total COP</t>
        </is>
      </c>
      <c r="C18" s="47">
        <f>C6+(C7+C8+C9)*Importacion!$C$8+C11+C13+Importacion!C39</f>
        <v/>
      </c>
      <c r="D18" s="47">
        <f>D6+(D7+D8+D9)*Importacion!$C$8+D11+D13+Importacion!C39</f>
        <v/>
      </c>
    </row>
    <row r="19" ht="28" customHeight="1">
      <c r="B19" s="48" t="inlineStr">
        <is>
          <t>COSTO POR UNIDAD (COP)</t>
        </is>
      </c>
      <c r="C19" s="49">
        <f>IFERROR(C18/Importacion!$C$10,0)</f>
        <v/>
      </c>
      <c r="D19" s="49">
        <f>IFERROR(D18/Importacion!$C$10,0)</f>
        <v/>
      </c>
    </row>
    <row r="20" ht="22" customHeight="1">
      <c r="B20" s="50" t="inlineStr">
        <is>
          <t>Tiempo de entrega estimado</t>
        </is>
      </c>
      <c r="C20" s="51" t="inlineStr">
        <is>
          <t>7 – 15 días</t>
        </is>
      </c>
      <c r="D20" s="51" t="inlineStr">
        <is>
          <t>35 – 50 días</t>
        </is>
      </c>
    </row>
    <row r="21" ht="8" customHeight="1"/>
    <row r="22" ht="40" customHeight="1">
      <c r="B22" s="52" t="inlineStr">
        <is>
          <t>RECOMENDACION: Para 25 unidades, la diferencia entre aéreo y marítimo es pequeña. Prefiere flete aéreo en el primer pedido — llegas 5 semanas antes al mercado.</t>
        </is>
      </c>
    </row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</sheetData>
  <mergeCells count="3">
    <mergeCell ref="B3:D3"/>
    <mergeCell ref="B2:D2"/>
    <mergeCell ref="B22:D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13"/>
  <sheetViews>
    <sheetView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" customWidth="1" min="7" max="7"/>
  </cols>
  <sheetData>
    <row r="1" ht="8" customHeight="1"/>
    <row r="2" ht="22" customHeight="1">
      <c r="B2" s="40" t="inlineStr">
        <is>
          <t>COSTO POR UNIDAD SEGÚN VOLUMEN DE PEDIDO  (Flete marítimo)</t>
        </is>
      </c>
    </row>
    <row r="3" ht="22" customHeight="1">
      <c r="B3" s="41" t="inlineStr">
        <is>
          <t>El flete marítimo tiene un costo fijo mínimo — a mayor volumen, menor costo por unidad.</t>
        </is>
      </c>
    </row>
    <row r="4" ht="8" customHeight="1"/>
    <row r="5" ht="28" customHeight="1">
      <c r="B5" s="53" t="inlineStr">
        <is>
          <t>Unidades</t>
        </is>
      </c>
      <c r="C5" s="53" t="inlineStr">
        <is>
          <t>FOB Total (USD)</t>
        </is>
      </c>
      <c r="D5" s="53" t="inlineStr">
        <is>
          <t>Flete+Imp. (COP)</t>
        </is>
      </c>
      <c r="E5" s="53" t="inlineStr">
        <is>
          <t>Local (COP)</t>
        </is>
      </c>
      <c r="F5" s="53" t="inlineStr">
        <is>
          <t>Costo/unidad (COP)</t>
        </is>
      </c>
      <c r="G5" s="53" t="inlineStr">
        <is>
          <t>Margen a $139,900</t>
        </is>
      </c>
    </row>
    <row r="6" ht="22" customHeight="1">
      <c r="B6" s="54" t="n">
        <v>25</v>
      </c>
      <c r="C6" s="55" t="n">
        <v>200</v>
      </c>
      <c r="D6" s="56" t="n">
        <v>4219524</v>
      </c>
      <c r="E6" s="56" t="n">
        <v>910000</v>
      </c>
      <c r="F6" s="57" t="n">
        <v>238781</v>
      </c>
      <c r="G6" s="58" t="n">
        <v>-0.9235973409578271</v>
      </c>
    </row>
    <row r="7" ht="22" customHeight="1">
      <c r="B7" s="59" t="n">
        <v>50</v>
      </c>
      <c r="C7" s="44" t="n">
        <v>400</v>
      </c>
      <c r="D7" s="43" t="n">
        <v>4932950</v>
      </c>
      <c r="E7" s="43" t="n">
        <v>910000</v>
      </c>
      <c r="F7" s="60" t="n">
        <v>150459</v>
      </c>
      <c r="G7" s="61" t="n">
        <v>-0.2922753967119371</v>
      </c>
    </row>
    <row r="8" ht="22" customHeight="1">
      <c r="B8" s="62" t="n">
        <v>100</v>
      </c>
      <c r="C8" s="63" t="n">
        <v>800</v>
      </c>
      <c r="D8" s="64" t="n">
        <v>6417281</v>
      </c>
      <c r="E8" s="64" t="n">
        <v>910000</v>
      </c>
      <c r="F8" s="65" t="n">
        <v>106873</v>
      </c>
      <c r="G8" s="66" t="n">
        <v>0.01927714081486773</v>
      </c>
    </row>
    <row r="9" ht="22" customHeight="1">
      <c r="B9" s="62" t="n">
        <v>200</v>
      </c>
      <c r="C9" s="63" t="n">
        <v>1600</v>
      </c>
      <c r="D9" s="64" t="n">
        <v>8811172</v>
      </c>
      <c r="E9" s="64" t="n">
        <v>910000</v>
      </c>
      <c r="F9" s="65" t="n">
        <v>82206</v>
      </c>
      <c r="G9" s="66" t="n">
        <v>0.1955955825589707</v>
      </c>
    </row>
    <row r="10" ht="22" customHeight="1">
      <c r="B10" s="62" t="n">
        <v>500</v>
      </c>
      <c r="C10" s="63" t="n">
        <v>4000</v>
      </c>
      <c r="D10" s="64" t="n">
        <v>16567614</v>
      </c>
      <c r="E10" s="64" t="n">
        <v>910000</v>
      </c>
      <c r="F10" s="65" t="n">
        <v>68555</v>
      </c>
      <c r="G10" s="66" t="n">
        <v>0.2931697784131522</v>
      </c>
    </row>
    <row r="11" ht="22" customHeight="1"/>
    <row r="12" ht="8" customHeight="1"/>
    <row r="13" ht="30" customHeight="1">
      <c r="B13" s="67" t="inlineStr">
        <is>
          <t>Amarillo = lote inicial 25 u.    Verde = punto de eficiencia (100+ u.)    Flete marítimo estimado incluye: LCL + THC origen/destino + BL + seguro + handling.</t>
        </is>
      </c>
    </row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</sheetData>
  <mergeCells count="3">
    <mergeCell ref="B2:F2"/>
    <mergeCell ref="B13:F13"/>
    <mergeCell ref="B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2026-07-22T22:54:34Z</dcterms:created>
  <dcterms:modified xsi:type="dcterms:W3CDTF">2026-07-22T22:54:34Z</dcterms:modified>
</cp:coreProperties>
</file>