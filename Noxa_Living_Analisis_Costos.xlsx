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os" sheetId="1" state="visible" r:id="rId1"/>
    <sheet name="Escenarios" sheetId="2" state="visible" r:id="rId2"/>
    <sheet name="Proyec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COP&quot;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i val="1"/>
      <color rgb="007F7F7F"/>
      <sz val="9"/>
    </font>
    <font>
      <name val="Arial"/>
      <b val="1"/>
      <color rgb="00000000"/>
      <sz val="11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b val="1"/>
      <color rgb="000000FF"/>
      <sz val="11"/>
    </font>
    <font>
      <name val="Arial"/>
      <b val="1"/>
      <color rgb="000000FF"/>
      <sz val="12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165" fontId="6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164" fontId="11" fillId="2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center" vertical="center"/>
    </xf>
    <xf numFmtId="3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3" fontId="12" fillId="2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4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0" customWidth="1" min="3" max="3"/>
    <col width="30" customWidth="1" min="4" max="4"/>
    <col width="2" customWidth="1" min="5" max="5"/>
  </cols>
  <sheetData>
    <row r="1" ht="8" customHeight="1"/>
    <row r="2" ht="22" customHeight="1">
      <c r="B2" s="1" t="inlineStr">
        <is>
          <t>NOXA LIVING — Análisis de Costos y Márgenes</t>
        </is>
      </c>
    </row>
    <row r="3" ht="22" customHeight="1">
      <c r="B3" s="2" t="inlineStr">
        <is>
          <t>Dispensador Automático de Jabón  ·  Mercado Colombia  ·  Canal MercadoLibre</t>
        </is>
      </c>
    </row>
    <row r="4" ht="8" customHeight="1"/>
    <row r="5" ht="22" customHeight="1">
      <c r="B5" s="3" t="inlineStr">
        <is>
          <t xml:space="preserve">  Texto azul = celda editable (cambia el valor)    Texto negro = fórmula automática</t>
        </is>
      </c>
    </row>
    <row r="6" ht="8" customHeight="1"/>
    <row r="7" ht="22" customHeight="1">
      <c r="B7" s="4" t="inlineStr">
        <is>
          <t>COSTOS DIRECTOS POR UNIDAD</t>
        </is>
      </c>
    </row>
    <row r="8" ht="22" customHeight="1">
      <c r="B8" s="5" t="inlineStr">
        <is>
          <t>Costo del producto (proveedor)</t>
        </is>
      </c>
      <c r="C8" s="6" t="n">
        <v>30000</v>
      </c>
      <c r="D8" s="7" t="inlineStr">
        <is>
          <t>Midpoint $20K–$40K. Editar con cotización real.</t>
        </is>
      </c>
    </row>
    <row r="9" ht="22" customHeight="1">
      <c r="B9" s="5" t="inlineStr">
        <is>
          <t>Empaque (sticker + insert card)</t>
        </is>
      </c>
      <c r="C9" s="6" t="n">
        <v>4000</v>
      </c>
      <c r="D9" s="7" t="inlineStr">
        <is>
          <t>Estimado para pedido mínimo 100 unidades.</t>
        </is>
      </c>
    </row>
    <row r="10" ht="22" customHeight="1">
      <c r="B10" s="5" t="inlineStr">
        <is>
          <t>Envío última milla — promedio nacional</t>
        </is>
      </c>
      <c r="C10" s="6" t="n">
        <v>10000</v>
      </c>
      <c r="D10" s="7" t="inlineStr">
        <is>
          <t>Varía: Bogotá $8K, provincias $12K–$15K.</t>
        </is>
      </c>
    </row>
    <row r="11" ht="22" customHeight="1">
      <c r="B11" s="8" t="inlineStr">
        <is>
          <t>SUBTOTAL — Costos directos</t>
        </is>
      </c>
      <c r="C11" s="9">
        <f>C8+C9+C10</f>
        <v/>
      </c>
      <c r="D11" s="10" t="inlineStr"/>
    </row>
    <row r="12" ht="8" customHeight="1"/>
    <row r="13" ht="22" customHeight="1">
      <c r="B13" s="4" t="inlineStr">
        <is>
          <t>COSTOS DE CANAL ONLINE  (porcentaje sobre precio de venta)</t>
        </is>
      </c>
    </row>
    <row r="14" ht="22" customHeight="1">
      <c r="B14" s="5" t="inlineStr">
        <is>
          <t>Comisión MercadoLibre — listing Premium</t>
        </is>
      </c>
      <c r="C14" s="11" t="n">
        <v>0.165</v>
      </c>
      <c r="D14" s="7" t="inlineStr">
        <is>
          <t>ML Colombia 2024. Clasico = 10.5 %, Premium = 16.5 %.</t>
        </is>
      </c>
    </row>
    <row r="15" ht="22" customHeight="1">
      <c r="B15" s="5" t="inlineStr">
        <is>
          <t>Procesamiento de pago (Mercado Pago)</t>
        </is>
      </c>
      <c r="C15" s="11" t="n">
        <v>0.0518</v>
      </c>
      <c r="D15" s="7" t="inlineStr">
        <is>
          <t>Incluye impuesto al consumo. Verificar con ML.</t>
        </is>
      </c>
    </row>
    <row r="16" ht="22" customHeight="1">
      <c r="B16" s="5" t="inlineStr">
        <is>
          <t>Devoluciones y ajustes estimados</t>
        </is>
      </c>
      <c r="C16" s="11" t="n">
        <v>0.02</v>
      </c>
      <c r="D16" s="7" t="inlineStr">
        <is>
          <t>Estimado conservador ~2 % de transacciones.</t>
        </is>
      </c>
    </row>
    <row r="17" ht="22" customHeight="1">
      <c r="B17" s="8" t="inlineStr">
        <is>
          <t>TOTAL COMISIONES (%)</t>
        </is>
      </c>
      <c r="C17" s="12">
        <f>C14+C15+C16</f>
        <v/>
      </c>
      <c r="D17" s="10" t="inlineStr"/>
    </row>
    <row r="18" ht="8" customHeight="1"/>
    <row r="19" ht="22" customHeight="1">
      <c r="B19" s="4" t="inlineStr">
        <is>
          <t>PRECIO DE VENTA  (editar para simular escenarios)</t>
        </is>
      </c>
    </row>
    <row r="20" ht="22" customHeight="1">
      <c r="B20" s="5" t="inlineStr">
        <is>
          <t>Precio B2C — MercadoLibre (público general)</t>
        </is>
      </c>
      <c r="C20" s="13" t="n">
        <v>139900</v>
      </c>
      <c r="D20" s="14" t="inlineStr">
        <is>
          <t>★ Cambia este valor para ver el impacto en márgenes</t>
        </is>
      </c>
    </row>
    <row r="21" ht="22" customHeight="1">
      <c r="B21" s="5" t="inlineStr">
        <is>
          <t>Precio B2B — Venta directa a empresas / hoteles</t>
        </is>
      </c>
      <c r="C21" s="13" t="n">
        <v>119900</v>
      </c>
      <c r="D21" s="14" t="inlineStr">
        <is>
          <t>★ Sin comisión ML. Válido para pedidos mínimo 3 u.</t>
        </is>
      </c>
    </row>
    <row r="22" ht="8" customHeight="1"/>
    <row r="23" ht="22" customHeight="1">
      <c r="B23" s="4" t="inlineStr">
        <is>
          <t>ANÁLISIS DE MÁRGENES</t>
        </is>
      </c>
    </row>
    <row r="24" ht="22" customHeight="1">
      <c r="B24" s="5" t="inlineStr">
        <is>
          <t>Comisiones absolutas B2C (en COP)</t>
        </is>
      </c>
      <c r="C24" s="15">
        <f>C20*C17</f>
        <v/>
      </c>
      <c r="D24" s="16" t="inlineStr"/>
    </row>
    <row r="25" ht="22" customHeight="1">
      <c r="B25" s="5" t="inlineStr">
        <is>
          <t>Costo total por unidad B2C</t>
        </is>
      </c>
      <c r="C25" s="15">
        <f>C11+C24</f>
        <v/>
      </c>
      <c r="D25" s="16" t="inlineStr"/>
    </row>
    <row r="26" ht="22" customHeight="1">
      <c r="B26" s="17" t="inlineStr">
        <is>
          <t>Ganancia neta por unidad B2C</t>
        </is>
      </c>
      <c r="C26" s="18">
        <f>C20-C25</f>
        <v/>
      </c>
      <c r="D26" s="19" t="inlineStr"/>
    </row>
    <row r="27" ht="22" customHeight="1">
      <c r="B27" s="17" t="inlineStr">
        <is>
          <t>Margen neto B2C (%)</t>
        </is>
      </c>
      <c r="C27" s="20">
        <f>IFERROR(C26/C20,0)</f>
        <v/>
      </c>
      <c r="D27" s="19" t="inlineStr"/>
    </row>
    <row r="28" ht="5" customHeight="1"/>
    <row r="29" ht="22" customHeight="1">
      <c r="B29" s="5" t="inlineStr">
        <is>
          <t>Costo total por unidad B2B (sin comisión ML)</t>
        </is>
      </c>
      <c r="C29" s="15">
        <f>C11</f>
        <v/>
      </c>
      <c r="D29" s="7" t="inlineStr">
        <is>
          <t>Mismo costo directo, sin pagar ML.</t>
        </is>
      </c>
    </row>
    <row r="30" ht="22" customHeight="1">
      <c r="B30" s="17" t="inlineStr">
        <is>
          <t>Ganancia neta por unidad B2B</t>
        </is>
      </c>
      <c r="C30" s="18">
        <f>C21-C29</f>
        <v/>
      </c>
      <c r="D30" s="19" t="inlineStr"/>
    </row>
    <row r="31" ht="22" customHeight="1">
      <c r="B31" s="17" t="inlineStr">
        <is>
          <t>Margen neto B2B (%)</t>
        </is>
      </c>
      <c r="C31" s="20">
        <f>IFERROR(C30/C21,0)</f>
        <v/>
      </c>
      <c r="D31" s="19" t="inlineStr"/>
    </row>
    <row r="32" ht="8" customHeight="1"/>
    <row r="33" ht="22" customHeight="1">
      <c r="B33" s="4" t="inlineStr">
        <is>
          <t>INVERSIÓN INICIAL  (costos fijos — se pagan una sola vez)</t>
        </is>
      </c>
    </row>
    <row r="34" ht="22" customHeight="1">
      <c r="B34" s="5" t="inlineStr">
        <is>
          <t>Logo + guía de identidad visual</t>
        </is>
      </c>
      <c r="C34" s="6" t="n">
        <v>150000</v>
      </c>
      <c r="D34" s="16" t="inlineStr"/>
    </row>
    <row r="35" ht="22" customHeight="1">
      <c r="B35" s="5" t="inlineStr">
        <is>
          <t>Fotografía profesional de producto</t>
        </is>
      </c>
      <c r="C35" s="6" t="n">
        <v>350000</v>
      </c>
      <c r="D35" s="16" t="inlineStr"/>
    </row>
    <row r="36" ht="22" customHeight="1">
      <c r="B36" s="5" t="inlineStr">
        <is>
          <t>Empaque inicial (100 stickers + inserts)</t>
        </is>
      </c>
      <c r="C36" s="6" t="n">
        <v>100000</v>
      </c>
      <c r="D36" s="16" t="inlineStr"/>
    </row>
    <row r="37" ht="22" customHeight="1">
      <c r="B37" s="5" t="inlineStr">
        <is>
          <t>Marketing de lanzamiento (ML Ads + Meta)</t>
        </is>
      </c>
      <c r="C37" s="6" t="n">
        <v>500000</v>
      </c>
      <c r="D37" s="16" t="inlineStr"/>
    </row>
    <row r="38" ht="22" customHeight="1">
      <c r="B38" s="5" t="inlineStr">
        <is>
          <t>Registro mercantil + trámites</t>
        </is>
      </c>
      <c r="C38" s="6" t="n">
        <v>100000</v>
      </c>
      <c r="D38" s="16" t="inlineStr"/>
    </row>
    <row r="39" ht="22" customHeight="1">
      <c r="B39" s="8" t="inlineStr">
        <is>
          <t>TOTAL INVERSIÓN INICIAL</t>
        </is>
      </c>
      <c r="C39" s="9">
        <f>SUM(C34:C38)</f>
        <v/>
      </c>
      <c r="D39" s="10" t="inlineStr"/>
    </row>
    <row r="40" ht="8" customHeight="1"/>
    <row r="41" ht="22" customHeight="1">
      <c r="B41" s="4" t="inlineStr">
        <is>
          <t>PUNTO DE EQUILIBRIO  (unidades para recuperar la inversión inicial)</t>
        </is>
      </c>
    </row>
    <row r="42" ht="22" customHeight="1">
      <c r="B42" s="5" t="inlineStr">
        <is>
          <t>Unidades necesarias — canal B2C (MercadoLibre)</t>
        </is>
      </c>
      <c r="C42" s="21">
        <f>IFERROR(CEILING(C39/C26,1),"N/A")</f>
        <v/>
      </c>
      <c r="D42" s="7" t="inlineStr">
        <is>
          <t>unidades vendidas por canal online</t>
        </is>
      </c>
    </row>
    <row r="43" ht="22" customHeight="1">
      <c r="B43" s="5" t="inlineStr">
        <is>
          <t>Unidades necesarias — canal B2B (venta directa)</t>
        </is>
      </c>
      <c r="C43" s="21">
        <f>IFERROR(CEILING(C39/C30,1),"N/A")</f>
        <v/>
      </c>
      <c r="D43" s="7" t="inlineStr">
        <is>
          <t>unidades vendidas directo a empresas</t>
        </is>
      </c>
    </row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9">
    <mergeCell ref="B33:D33"/>
    <mergeCell ref="B3:D3"/>
    <mergeCell ref="B5:D5"/>
    <mergeCell ref="B19:D19"/>
    <mergeCell ref="B23:D23"/>
    <mergeCell ref="B41:D41"/>
    <mergeCell ref="B13:D13"/>
    <mergeCell ref="B7:D7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1"/>
  <sheetViews>
    <sheetView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6" customWidth="1" min="8" max="8"/>
    <col width="2" customWidth="1" min="9" max="9"/>
  </cols>
  <sheetData>
    <row r="1" ht="8" customHeight="1"/>
    <row r="2" ht="22" customHeight="1">
      <c r="B2" s="22" t="inlineStr">
        <is>
          <t>ESCENARIOS DE PRECIO — Canal B2C (MercadoLibre)</t>
        </is>
      </c>
    </row>
    <row r="3" ht="22" customHeight="1">
      <c r="B3" s="23" t="inlineStr">
        <is>
          <t>Costos importados de hoja "Costos". Cambia el precio en columna C para simular.</t>
        </is>
      </c>
    </row>
    <row r="4" ht="8" customHeight="1"/>
    <row r="5" ht="30" customHeight="1">
      <c r="B5" s="24" t="inlineStr">
        <is>
          <t>Escenario</t>
        </is>
      </c>
      <c r="C5" s="24" t="inlineStr">
        <is>
          <t>Precio de venta</t>
        </is>
      </c>
      <c r="D5" s="24" t="inlineStr">
        <is>
          <t>Comisiones ML+pago</t>
        </is>
      </c>
      <c r="E5" s="24" t="inlineStr">
        <is>
          <t>Costo total / unidad</t>
        </is>
      </c>
      <c r="F5" s="24" t="inlineStr">
        <is>
          <t>Ganancia neta / unidad</t>
        </is>
      </c>
      <c r="G5" s="24" t="inlineStr">
        <is>
          <t>Margen neto %</t>
        </is>
      </c>
      <c r="H5" s="24" t="inlineStr">
        <is>
          <t>Break-even (unidades)</t>
        </is>
      </c>
    </row>
    <row r="6" ht="22" customHeight="1">
      <c r="B6" s="5" t="inlineStr">
        <is>
          <t>Economico</t>
        </is>
      </c>
      <c r="C6" s="25" t="n">
        <v>99900</v>
      </c>
      <c r="D6" s="15">
        <f>C6*Costos!$C$17</f>
        <v/>
      </c>
      <c r="E6" s="15">
        <f>Costos!$C$11+D6</f>
        <v/>
      </c>
      <c r="F6" s="26">
        <f>C6-E6</f>
        <v/>
      </c>
      <c r="G6" s="27">
        <f>IFERROR(F6/C6,0)</f>
        <v/>
      </c>
      <c r="H6" s="28">
        <f>IFERROR(CEILING(Costos!$C$39/F6,1),"N/A")</f>
        <v/>
      </c>
    </row>
    <row r="7" ht="22" customHeight="1">
      <c r="B7" s="5" t="inlineStr">
        <is>
          <t>Entrada premium</t>
        </is>
      </c>
      <c r="C7" s="25" t="n">
        <v>119900</v>
      </c>
      <c r="D7" s="15">
        <f>C7*Costos!$C$17</f>
        <v/>
      </c>
      <c r="E7" s="15">
        <f>Costos!$C$11+D7</f>
        <v/>
      </c>
      <c r="F7" s="29">
        <f>C7-E7</f>
        <v/>
      </c>
      <c r="G7" s="30">
        <f>IFERROR(F7/C7,0)</f>
        <v/>
      </c>
      <c r="H7" s="28">
        <f>IFERROR(CEILING(Costos!$C$39/F7,1),"N/A")</f>
        <v/>
      </c>
    </row>
    <row r="8" ht="22" customHeight="1">
      <c r="B8" s="31" t="inlineStr">
        <is>
          <t>Premium ★</t>
        </is>
      </c>
      <c r="C8" s="32" t="n">
        <v>139900</v>
      </c>
      <c r="D8" s="33">
        <f>C8*Costos!$C$17</f>
        <v/>
      </c>
      <c r="E8" s="33">
        <f>Costos!$C$11+D8</f>
        <v/>
      </c>
      <c r="F8" s="18">
        <f>C8-E8</f>
        <v/>
      </c>
      <c r="G8" s="34">
        <f>IFERROR(F8/C8,0)</f>
        <v/>
      </c>
      <c r="H8" s="35">
        <f>IFERROR(CEILING(Costos!$C$39/F8,1),"N/A")</f>
        <v/>
      </c>
    </row>
    <row r="9" ht="22" customHeight="1">
      <c r="B9" s="5" t="inlineStr">
        <is>
          <t>Lujo</t>
        </is>
      </c>
      <c r="C9" s="25" t="n">
        <v>159900</v>
      </c>
      <c r="D9" s="15">
        <f>C9*Costos!$C$17</f>
        <v/>
      </c>
      <c r="E9" s="15">
        <f>Costos!$C$11+D9</f>
        <v/>
      </c>
      <c r="F9" s="29">
        <f>C9-E9</f>
        <v/>
      </c>
      <c r="G9" s="30">
        <f>IFERROR(F9/C9,0)</f>
        <v/>
      </c>
      <c r="H9" s="28">
        <f>IFERROR(CEILING(Costos!$C$39/F9,1),"N/A")</f>
        <v/>
      </c>
    </row>
    <row r="10" ht="22" customHeight="1"/>
    <row r="11" ht="30" customHeight="1">
      <c r="B11" s="36" t="inlineStr">
        <is>
          <t>★ Precio recomendado: $139,900 COP. Con primer lote de 25 unidades y marketing de $500K, el break-even se alcanza vendiendo ~16 unidades.</t>
        </is>
      </c>
    </row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</sheetData>
  <mergeCells count="3">
    <mergeCell ref="B3:H3"/>
    <mergeCell ref="B2:H2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8" customWidth="1" min="4" max="4"/>
    <col width="18" customWidth="1" min="5" max="5"/>
    <col width="2" customWidth="1" min="6" max="6"/>
  </cols>
  <sheetData>
    <row r="1" ht="8" customHeight="1"/>
    <row r="2" ht="22" customHeight="1">
      <c r="B2" s="22" t="inlineStr">
        <is>
          <t>PROYECCIÓN MENSUAL — Canal B2C (primeros 3 meses)</t>
        </is>
      </c>
    </row>
    <row r="3" ht="22" customHeight="1">
      <c r="B3" s="23" t="inlineStr">
        <is>
          <t>Usa el precio B2C y costos de la hoja "Costos". Edita las unidades/mes en fila 6.</t>
        </is>
      </c>
    </row>
    <row r="4" ht="8" customHeight="1"/>
    <row r="5" ht="28" customHeight="1">
      <c r="B5" s="37" t="inlineStr"/>
      <c r="C5" s="37" t="inlineStr">
        <is>
          <t>Conservador</t>
        </is>
      </c>
      <c r="D5" s="37" t="inlineStr">
        <is>
          <t>Moderado</t>
        </is>
      </c>
      <c r="E5" s="37" t="inlineStr">
        <is>
          <t>Optimista</t>
        </is>
      </c>
    </row>
    <row r="6" ht="26" customHeight="1">
      <c r="B6" s="38" t="inlineStr">
        <is>
          <t>Unidades vendidas / mes  (★ editar)</t>
        </is>
      </c>
      <c r="C6" s="39" t="n">
        <v>8</v>
      </c>
      <c r="D6" s="39" t="n">
        <v>15</v>
      </c>
      <c r="E6" s="39" t="n">
        <v>25</v>
      </c>
    </row>
    <row r="7" ht="22" customHeight="1">
      <c r="B7" s="5" t="inlineStr">
        <is>
          <t>Precio de venta usado</t>
        </is>
      </c>
      <c r="C7" s="15">
        <f>Costos!$C$20</f>
        <v/>
      </c>
      <c r="D7" s="15">
        <f>Costos!$C$20</f>
        <v/>
      </c>
      <c r="E7" s="15">
        <f>Costos!$C$20</f>
        <v/>
      </c>
    </row>
    <row r="8" ht="6" customHeight="1"/>
    <row r="9" ht="22" customHeight="1">
      <c r="B9" s="38" t="inlineStr">
        <is>
          <t>Ingresos brutos</t>
        </is>
      </c>
      <c r="C9" s="40">
        <f>C6*Costos!$C$20</f>
        <v/>
      </c>
      <c r="D9" s="40">
        <f>D6*Costos!$C$20</f>
        <v/>
      </c>
      <c r="E9" s="40">
        <f>E6*Costos!$C$20</f>
        <v/>
      </c>
    </row>
    <row r="10" ht="22" customHeight="1">
      <c r="B10" s="5" t="inlineStr">
        <is>
          <t>Costo mercancía vendida (COGS)</t>
        </is>
      </c>
      <c r="C10" s="15">
        <f>C6*Costos!$C$11</f>
        <v/>
      </c>
      <c r="D10" s="15">
        <f>D6*Costos!$C$11</f>
        <v/>
      </c>
      <c r="E10" s="15">
        <f>E6*Costos!$C$11</f>
        <v/>
      </c>
    </row>
    <row r="11" ht="22" customHeight="1">
      <c r="B11" s="5" t="inlineStr">
        <is>
          <t>Comisiones MercadoLibre + pago</t>
        </is>
      </c>
      <c r="C11" s="15">
        <f>C9*Costos!$C$17</f>
        <v/>
      </c>
      <c r="D11" s="15">
        <f>D9*Costos!$C$17</f>
        <v/>
      </c>
      <c r="E11" s="15">
        <f>E9*Costos!$C$17</f>
        <v/>
      </c>
    </row>
    <row r="12" ht="22" customHeight="1">
      <c r="B12" s="17" t="inlineStr">
        <is>
          <t>GANANCIA BRUTA MENSUAL</t>
        </is>
      </c>
      <c r="C12" s="18">
        <f>C9-C10-C11</f>
        <v/>
      </c>
      <c r="D12" s="18">
        <f>D9-D10-D11</f>
        <v/>
      </c>
      <c r="E12" s="18">
        <f>E9-E10-E11</f>
        <v/>
      </c>
    </row>
    <row r="13" ht="22" customHeight="1">
      <c r="B13" s="41" t="inlineStr">
        <is>
          <t>Margen bruto (%)</t>
        </is>
      </c>
      <c r="C13" s="42">
        <f>IFERROR(C12/C9,0)</f>
        <v/>
      </c>
      <c r="D13" s="42">
        <f>IFERROR(D12/D9,0)</f>
        <v/>
      </c>
      <c r="E13" s="42">
        <f>IFERROR(E12/E9,0)</f>
        <v/>
      </c>
    </row>
    <row r="14" ht="6" customHeight="1"/>
    <row r="15" ht="22" customHeight="1">
      <c r="B15" s="5" t="inlineStr">
        <is>
          <t>Inversión inicial amortizada / mes (÷3)</t>
        </is>
      </c>
      <c r="C15" s="15">
        <f>Costos!$C$39/3</f>
        <v/>
      </c>
      <c r="D15" s="15">
        <f>Costos!$C$39/3</f>
        <v/>
      </c>
      <c r="E15" s="15">
        <f>Costos!$C$39/3</f>
        <v/>
      </c>
    </row>
    <row r="16" ht="22" customHeight="1">
      <c r="B16" s="8" t="inlineStr">
        <is>
          <t>RESULTADO NETO MENSUAL</t>
        </is>
      </c>
      <c r="C16" s="9">
        <f>C12-C15</f>
        <v/>
      </c>
      <c r="D16" s="9">
        <f>D12-D15</f>
        <v/>
      </c>
      <c r="E16" s="9">
        <f>E12-E15</f>
        <v/>
      </c>
    </row>
    <row r="17" ht="22" customHeight="1">
      <c r="B17" s="8" t="inlineStr">
        <is>
          <t>Resultado acumulado (3 meses)</t>
        </is>
      </c>
      <c r="C17" s="9">
        <f>C16*3</f>
        <v/>
      </c>
      <c r="D17" s="9">
        <f>D16*3</f>
        <v/>
      </c>
      <c r="E17" s="9">
        <f>E16*3</f>
        <v/>
      </c>
    </row>
    <row r="18" ht="22" customHeight="1"/>
    <row r="19" ht="30" customHeight="1">
      <c r="B19" s="36" t="inlineStr">
        <is>
          <t>Nota: inversión inicial amortizada en 3 meses. A partir del mes 4, el resultado neto = ganancia bruta mensual íntegra.</t>
        </is>
      </c>
    </row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</sheetData>
  <mergeCells count="3">
    <mergeCell ref="B19:E19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2026-07-22T22:39:21Z</dcterms:created>
  <dcterms:modified xsi:type="dcterms:W3CDTF">2026-07-22T22:39:21Z</dcterms:modified>
</cp:coreProperties>
</file>